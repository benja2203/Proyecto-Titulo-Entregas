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_fecifu\DUOC UC\2025-02\Capstone\Grupo 16\"/>
    </mc:Choice>
  </mc:AlternateContent>
  <xr:revisionPtr revIDLastSave="0" documentId="13_ncr:1_{7F0D54F7-630A-4900-B4BD-2B80F74D2B37}"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E31" i="1"/>
  <c r="G31" i="1"/>
  <c r="I31" i="1"/>
  <c r="K31" i="1"/>
  <c r="D13" i="1"/>
  <c r="E13" i="1" s="1"/>
  <c r="D14" i="1"/>
  <c r="E14" i="1" s="1"/>
  <c r="D15" i="1"/>
  <c r="E15" i="1" s="1"/>
  <c r="E16" i="1"/>
  <c r="D17" i="1"/>
  <c r="E17" i="1" s="1"/>
  <c r="D18" i="1"/>
  <c r="E18" i="1" s="1"/>
  <c r="F19" i="1"/>
  <c r="G19" i="1" s="1"/>
  <c r="D19" i="1" l="1"/>
  <c r="E19" i="1" s="1"/>
  <c r="H19" i="1"/>
  <c r="I19" i="1" s="1"/>
  <c r="J19" i="1"/>
  <c r="K19" i="1" s="1"/>
  <c r="G16" i="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<sst xmlns="http://schemas.openxmlformats.org/spreadsheetml/2006/main" count="141" uniqueCount="80">
  <si>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</si>
  <si>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</si>
  <si>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</si>
  <si>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</si>
  <si>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</si>
  <si>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</si>
  <si>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</si>
  <si>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</si>
  <si>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</si>
  <si>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</si>
  <si>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</si>
  <si>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</si>
  <si>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</si>
  <si>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</si>
  <si>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</si>
  <si>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</si>
  <si>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</si>
  <si>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</si>
  <si>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</si>
  <si>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</si>
  <si>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</si>
  <si>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</si>
  <si>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</si>
  <si>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</si>
  <si>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</si>
  <si>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</si>
  <si>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</si>
  <si>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</si>
  <si>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</si>
  <si>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</si>
  <si>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</si>
  <si>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</si>
  <si>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</si>
  <si>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</si>
  <si>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</si>
  <si>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</si>
  <si>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</si>
  <si>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</si>
  <si>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</si>
  <si>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</si>
  <si>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</si>
  <si>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</si>
  <si>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</si>
  <si>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</si>
  <si>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</si>
  <si>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</si>
  <si>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</si>
  <si>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</si>
  <si>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</si>
  <si>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</si>
  <si>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</si>
  <si>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</si>
  <si>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</si>
  <si>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</si>
  <si>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</si>
  <si>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</si>
  <si>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</si>
  <si>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</si>
  <si>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</si>
  <si>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</si>
  <si>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</si>
  <si>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</si>
  <si>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</si>
  <si>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</si>
  <si>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</si>
  <si>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</si>
  <si>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</si>
  <si>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</si>
  <si>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</si>
  <si>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</si>
  <si>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</si>
  <si>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</si>
  <si>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</si>
  <si>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</si>
  <si>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</si>
  <si>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</si>
  <si>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ARAYA FERNANDEZ BENJAMIN ALEXIS</t>
  </si>
  <si>
    <t>HENRIQUEZ GONZALEZ ISADORA CONSTANZA</t>
  </si>
  <si>
    <t>X</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</si>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</sst>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4"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29" sqref="B2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73" t="s">
        <v>76</v>
      </c>
      <c r="C4" s="5">
        <f>EVALUACION1!$C$21</f>
        <v>6.8</v>
      </c>
      <c r="D4" s="5">
        <f>$C$32</f>
        <v>5.8</v>
      </c>
      <c r="E4" s="6">
        <f>C4*C$2+D4*D$2</f>
        <v>6.55</v>
      </c>
      <c r="G4" s="1"/>
    </row>
    <row r="5" spans="1:11" x14ac:dyDescent="0.25">
      <c r="A5" s="4">
        <v>2</v>
      </c>
      <c r="B5" s="73" t="s">
        <v>77</v>
      </c>
      <c r="C5" s="5">
        <f>EVALUACION1!$C$21</f>
        <v>6.8</v>
      </c>
      <c r="D5" s="5">
        <f>C44</f>
        <v>7</v>
      </c>
      <c r="E5" s="6">
        <f t="shared" ref="E5:E6" si="0">C5*C$2+D5*D$2</f>
        <v>6.85</v>
      </c>
      <c r="G5" s="1"/>
    </row>
    <row r="6" spans="1:11" x14ac:dyDescent="0.25">
      <c r="A6" s="4">
        <v>3</v>
      </c>
      <c r="B6" s="27"/>
      <c r="C6" s="5">
        <f>EVALUACION1!$C$21</f>
        <v>6.8</v>
      </c>
      <c r="D6" s="5">
        <f>C55</f>
        <v>7</v>
      </c>
      <c r="E6" s="6">
        <f t="shared" si="0"/>
        <v>6.85</v>
      </c>
      <c r="G6" s="1"/>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70"/>
      <c r="B16" s="30" t="str">
        <f>RUBRICA!A8</f>
        <v>5. Utiliza de manera precisa el lenguaje técnico en los entregables de acuerdo con lo requerido por la disciplina.</v>
      </c>
      <c r="C16" s="28" t="s">
        <v>63</v>
      </c>
      <c r="D16" s="16" t="s">
        <v>79</v>
      </c>
      <c r="E16" s="16" t="str">
        <f>IF(D16="X",100*0.05,"")</f>
        <v/>
      </c>
      <c r="F16" s="16" t="s">
        <v>78</v>
      </c>
      <c r="G16" s="16">
        <f>IF(F16="X",60*0.05,"")</f>
        <v>3</v>
      </c>
      <c r="H16" s="16" t="str">
        <f t="shared" si="3"/>
        <v/>
      </c>
      <c r="I16" s="16" t="str">
        <f>IF(H16="X",30*0.05,"")</f>
        <v/>
      </c>
      <c r="J16" s="16" t="str">
        <f t="shared" si="4"/>
        <v/>
      </c>
      <c r="K16" s="16" t="str">
        <f t="shared" si="5"/>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5"/>
      <c r="B20" s="29" t="s">
        <v>66</v>
      </c>
      <c r="C20" s="33">
        <f>E20+G20+I20+K20</f>
        <v>73</v>
      </c>
      <c r="D20" s="19"/>
      <c r="E20" s="19">
        <f>SUM(E13:E19)</f>
        <v>70</v>
      </c>
      <c r="F20" s="19"/>
      <c r="G20" s="19">
        <f>SUM(G13:G19)</f>
        <v>3</v>
      </c>
      <c r="H20" s="19"/>
      <c r="I20" s="19">
        <f>SUM(I13:I19)</f>
        <v>0</v>
      </c>
      <c r="J20" s="19"/>
      <c r="K20" s="19">
        <f>SUM(K13:K19)</f>
        <v>0</v>
      </c>
    </row>
    <row r="21" spans="1:11" ht="15.75" customHeight="1" outlineLevel="1" x14ac:dyDescent="0.3">
      <c r="A21" s="54"/>
      <c r="B21" s="32" t="s">
        <v>67</v>
      </c>
      <c r="C21" s="20">
        <f>VLOOKUP(C20,ESCALA_IEP!A1:B152,2,FALSE)</f>
        <v>6.8</v>
      </c>
    </row>
    <row r="22" spans="1:11" ht="15.75" customHeight="1" x14ac:dyDescent="0.25"/>
    <row r="23" spans="1:11" ht="15.75" customHeight="1" x14ac:dyDescent="0.25"/>
    <row r="24" spans="1:11" ht="15.75" customHeight="1" x14ac:dyDescent="0.25">
      <c r="A24" s="64" t="s">
        <v>59</v>
      </c>
      <c r="B24" s="53" t="s">
        <v>68</v>
      </c>
      <c r="C24" s="56" t="str">
        <f>$B$4</f>
        <v>ARAYA FERNANDEZ BENJAMIN ALEXIS</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
        <v>79</v>
      </c>
      <c r="E29" s="16" t="str">
        <f>IF(D29="X",100*0.1,"")</f>
        <v/>
      </c>
      <c r="F29" s="16" t="s">
        <v>78</v>
      </c>
      <c r="G29" s="16">
        <f>IF(F29="X",60*0.1,"")</f>
        <v>6</v>
      </c>
      <c r="H29" s="16" t="str">
        <f t="shared" si="9"/>
        <v/>
      </c>
      <c r="I29" s="16" t="str">
        <f>IF(H29="X",30*0.1,"")</f>
        <v/>
      </c>
      <c r="J29" s="16" t="str">
        <f t="shared" si="10"/>
        <v/>
      </c>
      <c r="K29" s="16" t="str">
        <f t="shared" si="11"/>
        <v/>
      </c>
    </row>
    <row r="30" spans="1:11" ht="25.9" customHeight="1" x14ac:dyDescent="0.25">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5"/>
      <c r="B31" s="21" t="s">
        <v>70</v>
      </c>
      <c r="C31" s="18">
        <f>E31+G31+I31+K31</f>
        <v>21</v>
      </c>
      <c r="D31" s="19"/>
      <c r="E31" s="19">
        <f>SUM(E28:E30)</f>
        <v>15</v>
      </c>
      <c r="F31" s="19"/>
      <c r="G31" s="19">
        <f>SUM(G28:G30)</f>
        <v>6</v>
      </c>
      <c r="H31" s="19"/>
      <c r="I31" s="19">
        <f>SUM(I28:I30)</f>
        <v>0</v>
      </c>
      <c r="J31" s="19"/>
      <c r="K31" s="19">
        <f>SUM(K29:K30)</f>
        <v>0</v>
      </c>
    </row>
    <row r="32" spans="1:11" ht="15.75" customHeight="1" x14ac:dyDescent="0.3">
      <c r="A32" s="54"/>
      <c r="B32" s="17" t="s">
        <v>67</v>
      </c>
      <c r="C32" s="20">
        <f>VLOOKUP(C31,ESCALA_TRAB_EQUIP!A1:B52,2,FALSE)</f>
        <v>5.8</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t="str">
        <f>B5</f>
        <v>HENRIQUEZ GONZALEZ ISADORA CONSTANZA</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4" t="s">
        <v>59</v>
      </c>
      <c r="B47" s="53" t="s">
        <v>68</v>
      </c>
      <c r="C47" s="56">
        <f>B6</f>
        <v>0</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Felix Cifuentes Cid</cp:lastModifiedBy>
  <cp:revision/>
  <dcterms:created xsi:type="dcterms:W3CDTF">2023-08-07T04:08:01Z</dcterms:created>
  <dcterms:modified xsi:type="dcterms:W3CDTF">2025-11-26T00:22:55Z</dcterms:modified>
  <cp:category/>
  <cp:contentStatus/>
</cp:coreProperties>
</file>